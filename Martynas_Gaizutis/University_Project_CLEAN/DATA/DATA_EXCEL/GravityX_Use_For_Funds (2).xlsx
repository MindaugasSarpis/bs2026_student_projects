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ed Budget" sheetId="2" r:id="rId5"/>
    <sheet state="visible" name="12M Cash Plan" sheetId="3" r:id="rId6"/>
    <sheet state="visible" name="Hiring Plan" sheetId="4" r:id="rId7"/>
  </sheets>
  <definedNames/>
  <calcPr/>
  <extLst>
    <ext uri="GoogleSheetsCustomDataVersion2">
      <go:sheetsCustomData xmlns:go="http://customooxmlschemas.google.com/" r:id="rId8" roundtripDataChecksum="TiQLolyDZwdqfo0MnTJfQxaZR2qQyNQ7TvcLr6nb0QM="/>
    </ext>
  </extLst>
</workbook>
</file>

<file path=xl/sharedStrings.xml><?xml version="1.0" encoding="utf-8"?>
<sst xmlns="http://schemas.openxmlformats.org/spreadsheetml/2006/main" count="410" uniqueCount="243">
  <si>
    <t>GravityX - Detailed Use of Funds (€800,000)</t>
  </si>
  <si>
    <t>Use of proceeds objective</t>
  </si>
  <si>
    <t>Scale GravityX from pilot-stage traction and early revenue into repeatable industrial production infrastructure: expand the core team, harden the next-generation platform, increase in-house capacity, and convert pilots into larger aerospace and defense manufacturing programs.</t>
  </si>
  <si>
    <t>Funding Allocation Summary</t>
  </si>
  <si>
    <t>Category</t>
  </si>
  <si>
    <t>Amount (€)</t>
  </si>
  <si>
    <t>% of Round</t>
  </si>
  <si>
    <t>Core Use</t>
  </si>
  <si>
    <t>Rationale</t>
  </si>
  <si>
    <t>Phase Focus</t>
  </si>
  <si>
    <t xml:space="preserve"> View?</t>
  </si>
  <si>
    <t>Hiring</t>
  </si>
  <si>
    <t>Engineering, BD, sales, selective contractor support</t>
  </si>
  <si>
    <t>People are the primary scaling constraint in a deep-tech hardware company</t>
  </si>
  <si>
    <t>Months 1-12</t>
  </si>
  <si>
    <t>Execution capacity</t>
  </si>
  <si>
    <t>Engineering &amp; R&amp;D</t>
  </si>
  <si>
    <t>Hardware hardening, automation, materials, testing, documentation</t>
  </si>
  <si>
    <t>Platform reliability and process control are the moat</t>
  </si>
  <si>
    <t>Technology moat</t>
  </si>
  <si>
    <t>Production Capacity Expansion</t>
  </si>
  <si>
    <t>New internal cells, inventory, assembly tooling, QA equipment</t>
  </si>
  <si>
    <t>Turns capital directly into manufacturing throughput and revenue capacity</t>
  </si>
  <si>
    <t>Months 3-12</t>
  </si>
  <si>
    <t>Commercial scaling</t>
  </si>
  <si>
    <t>Go-to-Market</t>
  </si>
  <si>
    <t>Travel, pilots, demos, defense/space events, sales systems</t>
  </si>
  <si>
    <t>Industrial sales require technical trust-building and on-site engagement</t>
  </si>
  <si>
    <t>Pipeline conversion</t>
  </si>
  <si>
    <t>Operations &amp; G&amp;A</t>
  </si>
  <si>
    <t>Rent, utilities, legal, accounting, software, insurance, logistics</t>
  </si>
  <si>
    <t>Lean operating base with low rent and practical overhead</t>
  </si>
  <si>
    <t>Execution support</t>
  </si>
  <si>
    <t>Total</t>
  </si>
  <si>
    <t>Key Budget Messages</t>
  </si>
  <si>
    <t>1. Talent and engineering represent the majority of spend, matching GravityX's current stage as a hardware + automation company still hardening the platform.</t>
  </si>
  <si>
    <t>2. Rent is intentionally capped at €10k for the full year. The company remains operationally lean and puts capital into engineering and production capacity instead of fixed overhead.</t>
  </si>
  <si>
    <t>3. Production capacity expansion is split out separately from R&amp;D to show that part of the round directly converts into higher throughput and near-term revenue capability.</t>
  </si>
  <si>
    <t>4. The model is built for a 12-month execution window, with most spend linked to milestones that improve either reliability, output, or commercial conversion.</t>
  </si>
  <si>
    <t>Detailed Budget by Line Item</t>
  </si>
  <si>
    <t>Process (managment, Engineering, Rnd, Ops, Sales and marketing, Support)</t>
  </si>
  <si>
    <t>Cost Category (Salary, goods, services)</t>
  </si>
  <si>
    <t>Line Item</t>
  </si>
  <si>
    <t>Description</t>
  </si>
  <si>
    <t>Timing</t>
  </si>
  <si>
    <t>Type</t>
  </si>
  <si>
    <t>Priority</t>
  </si>
  <si>
    <t>Comment</t>
  </si>
  <si>
    <t>Founder's salaries (Viktoras, Martynas)</t>
  </si>
  <si>
    <t>Owns next-gen machine architecture, DFM/DFA, reliability</t>
  </si>
  <si>
    <t>Input</t>
  </si>
  <si>
    <t>High</t>
  </si>
  <si>
    <t xml:space="preserve">FTE, Core </t>
  </si>
  <si>
    <t>Software Engineer (Simonas)</t>
  </si>
  <si>
    <t>Automation, monitoring, API, fleet-control foundation</t>
  </si>
  <si>
    <t>Months 6-12</t>
  </si>
  <si>
    <t>Medium</t>
  </si>
  <si>
    <t xml:space="preserve">Services, Leverage across all future cells </t>
  </si>
  <si>
    <t>Manufacturing Engineer (New)</t>
  </si>
  <si>
    <t>Print process hardening, materials, production readiness</t>
  </si>
  <si>
    <t xml:space="preserve">FTE, Directly tied to repeatability </t>
  </si>
  <si>
    <t>Business Development (Rokas)</t>
  </si>
  <si>
    <t>Defense / aerospace pipeline conversion, partnerships, sales</t>
  </si>
  <si>
    <t>FTE, Revenue-facing role</t>
  </si>
  <si>
    <t>Logistics Co-ordinator (Tomas)</t>
  </si>
  <si>
    <t>Logistics</t>
  </si>
  <si>
    <t>FTE, Support</t>
  </si>
  <si>
    <t>Mechanical Engineer (Alexey)</t>
  </si>
  <si>
    <t>Engineering of structural and motion systems</t>
  </si>
  <si>
    <t>FTE, Mechanics/Robotics</t>
  </si>
  <si>
    <t>Engineer Generalist (Vilius)</t>
  </si>
  <si>
    <t>General Engineering (Full-Stack, SW-HW)</t>
  </si>
  <si>
    <t xml:space="preserve">FTE, Everything in general area of Engineering. </t>
  </si>
  <si>
    <t xml:space="preserve">Telemetry Data Analyst (Dovydas) interns, retention buffer </t>
  </si>
  <si>
    <t>Short-term experts, student help, retention support</t>
  </si>
  <si>
    <t>PTE, Flexibility for hard-to-plan needs</t>
  </si>
  <si>
    <t>Next-gen cell prototype iterations</t>
  </si>
  <si>
    <t>Frames, enclosure revisions, motion upgrades, redesign cycles</t>
  </si>
  <si>
    <t>Months 1-6</t>
  </si>
  <si>
    <t>Core product development</t>
  </si>
  <si>
    <t>Thermal / chamber / hot-end development</t>
  </si>
  <si>
    <t>Controlled thermal environment and high-temp subsystem work</t>
  </si>
  <si>
    <t>Critical for super-polymers</t>
  </si>
  <si>
    <t>Toolchanger &amp; automation subsystem</t>
  </si>
  <si>
    <t>Multi-tool reliability, changeover mechanisms, automation hooks</t>
  </si>
  <si>
    <t>Months 2-8</t>
  </si>
  <si>
    <t>Supports manufactorum path</t>
  </si>
  <si>
    <t>Sensors / electronics / control stack</t>
  </si>
  <si>
    <t>Instrumentation, boards, harnesses, sensors, embedded control</t>
  </si>
  <si>
    <t>Months 1-8</t>
  </si>
  <si>
    <t>Enables monitoring and traceability</t>
  </si>
  <si>
    <t>Materials / testing / failed iterations</t>
  </si>
  <si>
    <t>PEEK / PEKK / PEI, development scrap, validation runs</t>
  </si>
  <si>
    <t>Necessary R&amp;D expenses</t>
  </si>
  <si>
    <t>Reliability and endurance testing</t>
  </si>
  <si>
    <t>Long-duration uptime runs and reliability failure mapping</t>
  </si>
  <si>
    <t>Investor-critical proof</t>
  </si>
  <si>
    <t>Qualification documentation &amp; SOPs</t>
  </si>
  <si>
    <t>Evidence packs, traceability docs, process control, engineering documentation</t>
  </si>
  <si>
    <t>Months 4-12</t>
  </si>
  <si>
    <t>Supports enterprise sales</t>
  </si>
  <si>
    <t>Tooling / jigs / fixtures</t>
  </si>
  <si>
    <t>Assembly aids for repeatable builds</t>
  </si>
  <si>
    <t>Improves repeatability</t>
  </si>
  <si>
    <t>Spare parts &amp; maintenance stock</t>
  </si>
  <si>
    <t>Critical spare inventory to reduce downtime</t>
  </si>
  <si>
    <t>Protects uptime</t>
  </si>
  <si>
    <t>4 in-house standardized cells</t>
  </si>
  <si>
    <t>4 additional internal cells at €15k each</t>
  </si>
  <si>
    <t>Direct throughput expansion</t>
  </si>
  <si>
    <t>Long-lead inventory</t>
  </si>
  <si>
    <t>Linear motion, electronics, motors, heaters, chamber components</t>
  </si>
  <si>
    <t>Months 2-9</t>
  </si>
  <si>
    <t>De-risks procurement delays</t>
  </si>
  <si>
    <t>Assembly benches and tooling</t>
  </si>
  <si>
    <t>Benches, storage, workflow setup, manual tooling</t>
  </si>
  <si>
    <t>Months 3-8</t>
  </si>
  <si>
    <t>Supports parallel builds</t>
  </si>
  <si>
    <t>QA / monitoring equipment</t>
  </si>
  <si>
    <t>Inspection tools, thermal cameras, test sensors</t>
  </si>
  <si>
    <t>Production control</t>
  </si>
  <si>
    <t>Defense / aerospace trade events</t>
  </si>
  <si>
    <t>Targeted conferences, passes, stands, materials</t>
  </si>
  <si>
    <t>Focused industry access</t>
  </si>
  <si>
    <t xml:space="preserve">Go-to-Market </t>
  </si>
  <si>
    <t>Services</t>
  </si>
  <si>
    <t>Customer travel &amp; site visits</t>
  </si>
  <si>
    <t>Technical reviews, customer meetings, pipeline conversion</t>
  </si>
  <si>
    <t>Industrial sales need presence</t>
  </si>
  <si>
    <t>Pilot support / demo parts</t>
  </si>
  <si>
    <t>Sample builds, pilot setup, technical onboarding</t>
  </si>
  <si>
    <t>Converts technical interest</t>
  </si>
  <si>
    <t>Website, deck, content, PR</t>
  </si>
  <si>
    <t xml:space="preserve">Messaging refresh, media, visual assets, investor/customer collateral. </t>
  </si>
  <si>
    <t>Low</t>
  </si>
  <si>
    <t>Lean external visibility</t>
  </si>
  <si>
    <t>CRM / sales systems</t>
  </si>
  <si>
    <t>Pipeline tooling, subscriptions, proposal stack</t>
  </si>
  <si>
    <t>Commercial hygiene</t>
  </si>
  <si>
    <t>Workshop / lab rent</t>
  </si>
  <si>
    <t>Dedicated development and light production space</t>
  </si>
  <si>
    <t>Capped low on purpose</t>
  </si>
  <si>
    <t>Utilities &amp; internet</t>
  </si>
  <si>
    <t>Power, heating, connectivity, network</t>
  </si>
  <si>
    <t>Continuous testing support</t>
  </si>
  <si>
    <t>Insurance</t>
  </si>
  <si>
    <t>Equipment, liability, facility coverage</t>
  </si>
  <si>
    <t>Industrial prudence</t>
  </si>
  <si>
    <t>Legal &amp; accounting</t>
  </si>
  <si>
    <t>UAB setup, contracts, bookkeeping, governance, diligence</t>
  </si>
  <si>
    <t>Investor + customer readiness</t>
  </si>
  <si>
    <t>Cloud &amp; software subscriptions</t>
  </si>
  <si>
    <t>CAD, collaboration, storage, monitoring, email, ops tools</t>
  </si>
  <si>
    <t>Lean software overhead</t>
  </si>
  <si>
    <t>Shipping &amp; logistics</t>
  </si>
  <si>
    <t>Inbound components, outbound parts, packaging, freight</t>
  </si>
  <si>
    <t>Hardware reality</t>
  </si>
  <si>
    <t>Computers / admin equipment</t>
  </si>
  <si>
    <t>Practical office and engineering peripherals</t>
  </si>
  <si>
    <t>One-off setup items</t>
  </si>
  <si>
    <t>Security / backups / IT</t>
  </si>
  <si>
    <t>Backups, secure comms, access control, cyber basics</t>
  </si>
  <si>
    <t>Especially relevant for defense work</t>
  </si>
  <si>
    <t>Category Check</t>
  </si>
  <si>
    <t>Actual (€)</t>
  </si>
  <si>
    <t>Expected (€)</t>
  </si>
  <si>
    <t>Variance (€)</t>
  </si>
  <si>
    <t>12-Month Cash Deployment Plan</t>
  </si>
  <si>
    <t>Category / Line Item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</si>
  <si>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</si>
  <si>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</si>
  <si>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</si>
  <si>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</si>
  <si>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</si>
  <si>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</si>
  <si>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</si>
  <si>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</si>
  <si>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</si>
  <si>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</si>
  <si>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</si>
  <si>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</si>
  <si>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(€)</t>
  </si>
  <si>
    <t>Ramp-up then steady team burn</t>
  </si>
  <si>
    <t>Engineering &amp; R&amp;D | Prototype hardening, testing, materials, tooling</t>
  </si>
  <si>
    <t>Front-loaded technical development</t>
  </si>
  <si>
    <t>Production Capacity Expansion | Cells, inventory, benches, QA equipment</t>
  </si>
  <si>
    <t>Capacity comes after early hardening</t>
  </si>
  <si>
    <t>Go-to-Market | Travel, pilots, events, sales systems</t>
  </si>
  <si>
    <t>Commercial expansion alongside capacity</t>
  </si>
  <si>
    <t>Operations &amp; G&amp;A | Rent, utilities, legal, software, insurance, logistics</t>
  </si>
  <si>
    <t>Lean fixed base + legal / logistics cadence</t>
  </si>
  <si>
    <t>Total by month</t>
  </si>
  <si>
    <t>Hiring and Retention Plan</t>
  </si>
  <si>
    <t>Role</t>
  </si>
  <si>
    <t>Function</t>
  </si>
  <si>
    <t>Planned Start</t>
  </si>
  <si>
    <t>12M Cost (€)</t>
  </si>
  <si>
    <t>Why this role matters</t>
  </si>
  <si>
    <t>Revenue / Product Impact</t>
  </si>
  <si>
    <t>Current Need</t>
  </si>
  <si>
    <t>Notes</t>
  </si>
  <si>
    <t>Founder's salaries</t>
  </si>
  <si>
    <t xml:space="preserve">Core </t>
  </si>
  <si>
    <t>Month 1</t>
  </si>
  <si>
    <t>Own platform architecture and production robustness</t>
  </si>
  <si>
    <t>Founding Team</t>
  </si>
  <si>
    <t>Immediate</t>
  </si>
  <si>
    <t>Critical deep-tech hire</t>
  </si>
  <si>
    <t>Software Engineer</t>
  </si>
  <si>
    <t>Automation / software</t>
  </si>
  <si>
    <t>Month 6</t>
  </si>
  <si>
    <t>Build monitoring, API, automation, data systems</t>
  </si>
  <si>
    <t>Multiplies future manufactorum value</t>
  </si>
  <si>
    <t>Ongoing</t>
  </si>
  <si>
    <t>Leverage role</t>
  </si>
  <si>
    <t>Manufacturing Engineer</t>
  </si>
  <si>
    <t>Production process</t>
  </si>
  <si>
    <t>Own material/process repeatability and readiness</t>
  </si>
  <si>
    <t>Directly improves throughput and scrap rate</t>
  </si>
  <si>
    <t>Core production role</t>
  </si>
  <si>
    <t>Business Development</t>
  </si>
  <si>
    <t>Commercial</t>
  </si>
  <si>
    <t>Convert pilots into contracts and open pipeline</t>
  </si>
  <si>
    <t>Direct revenue role</t>
  </si>
  <si>
    <t>Defense / aerospace focus</t>
  </si>
  <si>
    <t>Logistics Co-ordinator</t>
  </si>
  <si>
    <t>Coordinates and plans logistics, keeps inventory track</t>
  </si>
  <si>
    <t>Eleviates logistical and packaging problems</t>
  </si>
  <si>
    <t>Core planing/execution role</t>
  </si>
  <si>
    <t>Mechanical Engineer</t>
  </si>
  <si>
    <t>R&amp;D</t>
  </si>
  <si>
    <t>Tech Hire</t>
  </si>
  <si>
    <t>Engineer Generalist</t>
  </si>
  <si>
    <t>General engineering help: design, assembly, soldering, manufacturing</t>
  </si>
  <si>
    <t>Full-stack day-to-day engineering operations</t>
  </si>
  <si>
    <t>Core day to day role</t>
  </si>
  <si>
    <t>Specialists / interns / contractors</t>
  </si>
  <si>
    <t>Flexible support</t>
  </si>
  <si>
    <t>Rolling</t>
  </si>
  <si>
    <t>Add targeted expertise without overhiring too early</t>
  </si>
  <si>
    <t>Keeps core team focused</t>
  </si>
  <si>
    <t>Retention + flexibility bucket</t>
  </si>
  <si>
    <t>Total Talent 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</si>
</sst>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€#,##0;[Red]\(\€#,##0\);\-"/>
    <numFmt numFmtId="165" formatCode="0.0%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DEBF7"/>
        <bgColor rgb="FFDDEBF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4" numFmtId="0" xfId="0" applyAlignment="1" applyBorder="1" applyFont="1">
      <alignment shrinkToFit="0" wrapText="1"/>
    </xf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readingOrder="0"/>
    </xf>
    <xf borderId="4" fillId="0" fontId="4" numFmtId="164" xfId="0" applyBorder="1" applyFont="1" applyNumberFormat="1"/>
    <xf borderId="4" fillId="0" fontId="4" numFmtId="165" xfId="0" applyBorder="1" applyFont="1" applyNumberFormat="1"/>
    <xf borderId="4" fillId="0" fontId="4" numFmtId="0" xfId="0" applyBorder="1" applyFont="1"/>
    <xf borderId="4" fillId="0" fontId="3" numFmtId="164" xfId="0" applyBorder="1" applyFont="1" applyNumberFormat="1"/>
    <xf borderId="4" fillId="0" fontId="3" numFmtId="165" xfId="0" applyBorder="1" applyFont="1" applyNumberFormat="1"/>
    <xf borderId="0" fillId="0" fontId="4" numFmtId="0" xfId="0" applyFont="1"/>
    <xf borderId="4" fillId="3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4" fillId="0" fontId="4" numFmtId="164" xfId="0" applyAlignment="1" applyBorder="1" applyFont="1" applyNumberFormat="1">
      <alignment readingOrder="0"/>
    </xf>
    <xf borderId="4" fillId="0" fontId="4" numFmtId="0" xfId="0" applyAlignment="1" applyBorder="1" applyFont="1">
      <alignment readingOrder="0" shrinkToFit="0" wrapText="1"/>
    </xf>
    <xf borderId="5" fillId="4" fontId="3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55.86"/>
    <col customWidth="1" min="3" max="3" width="11.0"/>
    <col customWidth="1" min="4" max="4" width="30.0"/>
    <col customWidth="1" min="5" max="5" width="34.0"/>
    <col customWidth="1" min="6" max="6" width="14.0"/>
    <col customWidth="1" min="7" max="7" width="18.0"/>
    <col customWidth="1" min="8" max="26" width="8.86"/>
  </cols>
  <sheetData>
    <row r="1">
      <c r="A1" s="1" t="s">
        <v>0</v>
      </c>
      <c r="B1" s="2"/>
      <c r="C1" s="2"/>
      <c r="D1" s="2"/>
      <c r="E1" s="2"/>
      <c r="F1" s="2"/>
      <c r="G1" s="3"/>
    </row>
    <row r="3" ht="83.25" customHeight="1">
      <c r="A3" s="4" t="s">
        <v>1</v>
      </c>
      <c r="B3" s="5" t="s">
        <v>2</v>
      </c>
    </row>
    <row r="5">
      <c r="A5" s="1" t="s">
        <v>3</v>
      </c>
      <c r="B5" s="2"/>
      <c r="C5" s="2"/>
      <c r="D5" s="2"/>
      <c r="E5" s="2"/>
      <c r="F5" s="2"/>
      <c r="G5" s="3"/>
    </row>
    <row r="6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>
      <c r="A7" s="7" t="s">
        <v>11</v>
      </c>
      <c r="B7" s="8">
        <f>SUMIFS('Detailed Budget'!$F:$F,'Detailed Budget'!$A:$A,A7)</f>
        <v>294000</v>
      </c>
      <c r="C7" s="9">
        <f t="shared" ref="C7:C11" si="1">B7/$B$13</f>
        <v>0.3888888889</v>
      </c>
      <c r="D7" s="5" t="s">
        <v>12</v>
      </c>
      <c r="E7" s="5" t="s">
        <v>13</v>
      </c>
      <c r="F7" s="10" t="s">
        <v>14</v>
      </c>
      <c r="G7" s="10" t="s">
        <v>15</v>
      </c>
    </row>
    <row r="8">
      <c r="A8" s="10" t="s">
        <v>16</v>
      </c>
      <c r="B8" s="8">
        <f>SUMIFS('Detailed Budget'!$F:$F,'Detailed Budget'!$A:$A,A8)</f>
        <v>256000</v>
      </c>
      <c r="C8" s="9">
        <f t="shared" si="1"/>
        <v>0.3386243386</v>
      </c>
      <c r="D8" s="5" t="s">
        <v>17</v>
      </c>
      <c r="E8" s="5" t="s">
        <v>18</v>
      </c>
      <c r="F8" s="10" t="s">
        <v>14</v>
      </c>
      <c r="G8" s="10" t="s">
        <v>19</v>
      </c>
    </row>
    <row r="9">
      <c r="A9" s="10" t="s">
        <v>20</v>
      </c>
      <c r="B9" s="8">
        <f>SUMIFS('Detailed Budget'!$F:$F,'Detailed Budget'!$A:$A,A9)</f>
        <v>105000</v>
      </c>
      <c r="C9" s="9">
        <f t="shared" si="1"/>
        <v>0.1388888889</v>
      </c>
      <c r="D9" s="5" t="s">
        <v>21</v>
      </c>
      <c r="E9" s="5" t="s">
        <v>22</v>
      </c>
      <c r="F9" s="10" t="s">
        <v>23</v>
      </c>
      <c r="G9" s="10" t="s">
        <v>24</v>
      </c>
    </row>
    <row r="10">
      <c r="A10" s="10" t="s">
        <v>25</v>
      </c>
      <c r="B10" s="8">
        <f>SUMIFS('Detailed Budget'!$F:$F,'Detailed Budget'!$A:$A,A10)</f>
        <v>26000</v>
      </c>
      <c r="C10" s="9">
        <f t="shared" si="1"/>
        <v>0.03439153439</v>
      </c>
      <c r="D10" s="5" t="s">
        <v>26</v>
      </c>
      <c r="E10" s="5" t="s">
        <v>27</v>
      </c>
      <c r="F10" s="10" t="s">
        <v>14</v>
      </c>
      <c r="G10" s="10" t="s">
        <v>28</v>
      </c>
    </row>
    <row r="11">
      <c r="A11" s="10" t="s">
        <v>29</v>
      </c>
      <c r="B11" s="8">
        <f>SUMIFS('Detailed Budget'!$F:$F,'Detailed Budget'!$A:$A,A11)</f>
        <v>75000</v>
      </c>
      <c r="C11" s="9">
        <f t="shared" si="1"/>
        <v>0.09920634921</v>
      </c>
      <c r="D11" s="5" t="s">
        <v>30</v>
      </c>
      <c r="E11" s="5" t="s">
        <v>31</v>
      </c>
      <c r="F11" s="10" t="s">
        <v>14</v>
      </c>
      <c r="G11" s="10" t="s">
        <v>32</v>
      </c>
    </row>
    <row r="12">
      <c r="A12" s="10"/>
      <c r="B12" s="10"/>
      <c r="C12" s="10"/>
      <c r="D12" s="10"/>
      <c r="E12" s="10"/>
      <c r="F12" s="10"/>
      <c r="G12" s="10"/>
    </row>
    <row r="13">
      <c r="A13" s="4" t="s">
        <v>33</v>
      </c>
      <c r="B13" s="11">
        <f t="shared" ref="B13:C13" si="2">SUM(B7:B11)</f>
        <v>756000</v>
      </c>
      <c r="C13" s="12">
        <f t="shared" si="2"/>
        <v>1</v>
      </c>
      <c r="D13" s="4"/>
      <c r="E13" s="4"/>
      <c r="F13" s="4"/>
      <c r="G13" s="4"/>
    </row>
    <row r="15">
      <c r="A15" s="1" t="s">
        <v>34</v>
      </c>
      <c r="B15" s="2"/>
      <c r="C15" s="2"/>
      <c r="D15" s="2"/>
      <c r="E15" s="2"/>
      <c r="F15" s="2"/>
      <c r="G15" s="3"/>
    </row>
    <row r="16" ht="57.0" customHeight="1">
      <c r="A16" s="13"/>
      <c r="B16" s="5" t="s">
        <v>35</v>
      </c>
    </row>
    <row r="17" ht="49.5" customHeight="1">
      <c r="A17" s="13"/>
      <c r="B17" s="5" t="s">
        <v>36</v>
      </c>
    </row>
    <row r="18" ht="57.0" customHeight="1">
      <c r="A18" s="13"/>
      <c r="B18" s="5" t="s">
        <v>37</v>
      </c>
    </row>
    <row r="19" ht="51.75" customHeight="1">
      <c r="A19" s="13"/>
      <c r="B19" s="5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5:G5"/>
    <mergeCell ref="A15:G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3" width="18.71"/>
    <col customWidth="1" min="4" max="4" width="34.0"/>
    <col customWidth="1" min="5" max="5" width="44.0"/>
    <col customWidth="1" min="6" max="6" width="13.0"/>
    <col customWidth="1" min="7" max="7" width="11.0"/>
    <col customWidth="1" min="8" max="8" width="14.0"/>
    <col customWidth="1" min="9" max="10" width="10.0"/>
    <col customWidth="1" min="11" max="11" width="24.0"/>
    <col customWidth="1" min="12" max="28" width="8.86"/>
  </cols>
  <sheetData>
    <row r="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3">
      <c r="A3" s="6" t="s">
        <v>4</v>
      </c>
      <c r="B3" s="14" t="s">
        <v>40</v>
      </c>
      <c r="C3" s="15" t="s">
        <v>41</v>
      </c>
      <c r="D3" s="6" t="s">
        <v>42</v>
      </c>
      <c r="E3" s="6" t="s">
        <v>43</v>
      </c>
      <c r="F3" s="6" t="s">
        <v>5</v>
      </c>
      <c r="G3" s="6" t="s">
        <v>6</v>
      </c>
      <c r="H3" s="6" t="s">
        <v>44</v>
      </c>
      <c r="I3" s="6" t="s">
        <v>45</v>
      </c>
      <c r="J3" s="6" t="s">
        <v>46</v>
      </c>
      <c r="K3" s="6" t="s">
        <v>47</v>
      </c>
    </row>
    <row r="4">
      <c r="A4" s="7" t="s">
        <v>11</v>
      </c>
      <c r="B4" s="7"/>
      <c r="C4" s="7"/>
      <c r="D4" s="7" t="s">
        <v>48</v>
      </c>
      <c r="E4" s="5" t="s">
        <v>49</v>
      </c>
      <c r="F4" s="16">
        <v>88000.0</v>
      </c>
      <c r="G4" s="9">
        <f t="shared" ref="G4:G37" si="1">F4/$F$38</f>
        <v>0.1116751269</v>
      </c>
      <c r="H4" s="10" t="s">
        <v>14</v>
      </c>
      <c r="I4" s="10" t="s">
        <v>50</v>
      </c>
      <c r="J4" s="10" t="s">
        <v>51</v>
      </c>
      <c r="K4" s="17" t="s">
        <v>52</v>
      </c>
    </row>
    <row r="5">
      <c r="A5" s="10" t="s">
        <v>16</v>
      </c>
      <c r="B5" s="7"/>
      <c r="C5" s="7"/>
      <c r="D5" s="7" t="s">
        <v>53</v>
      </c>
      <c r="E5" s="5" t="s">
        <v>54</v>
      </c>
      <c r="F5" s="16">
        <v>28000.0</v>
      </c>
      <c r="G5" s="9">
        <f t="shared" si="1"/>
        <v>0.03553299492</v>
      </c>
      <c r="H5" s="7" t="s">
        <v>55</v>
      </c>
      <c r="I5" s="10" t="s">
        <v>50</v>
      </c>
      <c r="J5" s="10" t="s">
        <v>56</v>
      </c>
      <c r="K5" s="17" t="s">
        <v>57</v>
      </c>
    </row>
    <row r="6">
      <c r="A6" s="7" t="s">
        <v>11</v>
      </c>
      <c r="B6" s="7"/>
      <c r="C6" s="7"/>
      <c r="D6" s="7" t="s">
        <v>58</v>
      </c>
      <c r="E6" s="5" t="s">
        <v>59</v>
      </c>
      <c r="F6" s="16">
        <v>30000.0</v>
      </c>
      <c r="G6" s="9">
        <f t="shared" si="1"/>
        <v>0.03807106599</v>
      </c>
      <c r="H6" s="10" t="s">
        <v>14</v>
      </c>
      <c r="I6" s="10" t="s">
        <v>50</v>
      </c>
      <c r="J6" s="10" t="s">
        <v>51</v>
      </c>
      <c r="K6" s="17" t="s">
        <v>60</v>
      </c>
    </row>
    <row r="7">
      <c r="A7" s="7" t="s">
        <v>11</v>
      </c>
      <c r="B7" s="7"/>
      <c r="C7" s="7"/>
      <c r="D7" s="7" t="s">
        <v>61</v>
      </c>
      <c r="E7" s="17" t="s">
        <v>62</v>
      </c>
      <c r="F7" s="16">
        <v>44000.0</v>
      </c>
      <c r="G7" s="9">
        <f t="shared" si="1"/>
        <v>0.05583756345</v>
      </c>
      <c r="H7" s="10" t="s">
        <v>14</v>
      </c>
      <c r="I7" s="10" t="s">
        <v>50</v>
      </c>
      <c r="J7" s="10" t="s">
        <v>51</v>
      </c>
      <c r="K7" s="17" t="s">
        <v>63</v>
      </c>
    </row>
    <row r="8">
      <c r="A8" s="7" t="s">
        <v>11</v>
      </c>
      <c r="B8" s="7"/>
      <c r="C8" s="7"/>
      <c r="D8" s="7" t="s">
        <v>64</v>
      </c>
      <c r="E8" s="17" t="s">
        <v>65</v>
      </c>
      <c r="F8" s="16">
        <v>24000.0</v>
      </c>
      <c r="G8" s="9">
        <f t="shared" si="1"/>
        <v>0.03045685279</v>
      </c>
      <c r="H8" s="10" t="s">
        <v>14</v>
      </c>
      <c r="I8" s="7" t="s">
        <v>50</v>
      </c>
      <c r="J8" s="7" t="s">
        <v>51</v>
      </c>
      <c r="K8" s="17" t="s">
        <v>66</v>
      </c>
    </row>
    <row r="9">
      <c r="A9" s="7" t="s">
        <v>11</v>
      </c>
      <c r="B9" s="7"/>
      <c r="C9" s="7"/>
      <c r="D9" s="7" t="s">
        <v>67</v>
      </c>
      <c r="E9" s="17" t="s">
        <v>68</v>
      </c>
      <c r="F9" s="8">
        <v>36000.0</v>
      </c>
      <c r="G9" s="9">
        <f t="shared" si="1"/>
        <v>0.04568527919</v>
      </c>
      <c r="H9" s="7" t="s">
        <v>14</v>
      </c>
      <c r="I9" s="10" t="s">
        <v>50</v>
      </c>
      <c r="J9" s="10" t="s">
        <v>56</v>
      </c>
      <c r="K9" s="17" t="s">
        <v>69</v>
      </c>
    </row>
    <row r="10">
      <c r="A10" s="7" t="s">
        <v>11</v>
      </c>
      <c r="B10" s="7"/>
      <c r="C10" s="7"/>
      <c r="D10" s="7" t="s">
        <v>70</v>
      </c>
      <c r="E10" s="17" t="s">
        <v>71</v>
      </c>
      <c r="F10" s="16">
        <v>44000.0</v>
      </c>
      <c r="G10" s="9">
        <f t="shared" si="1"/>
        <v>0.05583756345</v>
      </c>
      <c r="H10" s="7" t="s">
        <v>14</v>
      </c>
      <c r="I10" s="10" t="s">
        <v>50</v>
      </c>
      <c r="J10" s="7" t="s">
        <v>51</v>
      </c>
      <c r="K10" s="17" t="s">
        <v>72</v>
      </c>
    </row>
    <row r="11">
      <c r="A11" s="7" t="s">
        <v>11</v>
      </c>
      <c r="B11" s="7"/>
      <c r="C11" s="7"/>
      <c r="D11" s="7" t="s">
        <v>73</v>
      </c>
      <c r="E11" s="5" t="s">
        <v>74</v>
      </c>
      <c r="F11" s="16">
        <v>56000.0</v>
      </c>
      <c r="G11" s="9">
        <f t="shared" si="1"/>
        <v>0.07106598985</v>
      </c>
      <c r="H11" s="10" t="s">
        <v>14</v>
      </c>
      <c r="I11" s="10" t="s">
        <v>50</v>
      </c>
      <c r="J11" s="10" t="s">
        <v>56</v>
      </c>
      <c r="K11" s="17" t="s">
        <v>75</v>
      </c>
    </row>
    <row r="12">
      <c r="A12" s="10" t="s">
        <v>16</v>
      </c>
      <c r="B12" s="10"/>
      <c r="C12" s="10"/>
      <c r="D12" s="10" t="s">
        <v>76</v>
      </c>
      <c r="E12" s="5" t="s">
        <v>77</v>
      </c>
      <c r="F12" s="8">
        <v>52000.0</v>
      </c>
      <c r="G12" s="9">
        <f t="shared" si="1"/>
        <v>0.06598984772</v>
      </c>
      <c r="H12" s="10" t="s">
        <v>78</v>
      </c>
      <c r="I12" s="10" t="s">
        <v>50</v>
      </c>
      <c r="J12" s="10" t="s">
        <v>51</v>
      </c>
      <c r="K12" s="17" t="s">
        <v>79</v>
      </c>
    </row>
    <row r="13">
      <c r="A13" s="10" t="s">
        <v>16</v>
      </c>
      <c r="B13" s="10"/>
      <c r="C13" s="10"/>
      <c r="D13" s="10" t="s">
        <v>80</v>
      </c>
      <c r="E13" s="5" t="s">
        <v>81</v>
      </c>
      <c r="F13" s="8">
        <v>30000.0</v>
      </c>
      <c r="G13" s="9">
        <f t="shared" si="1"/>
        <v>0.03807106599</v>
      </c>
      <c r="H13" s="10" t="s">
        <v>78</v>
      </c>
      <c r="I13" s="10" t="s">
        <v>50</v>
      </c>
      <c r="J13" s="10" t="s">
        <v>51</v>
      </c>
      <c r="K13" s="5" t="s">
        <v>82</v>
      </c>
    </row>
    <row r="14">
      <c r="A14" s="10" t="s">
        <v>16</v>
      </c>
      <c r="B14" s="10"/>
      <c r="C14" s="10"/>
      <c r="D14" s="10" t="s">
        <v>83</v>
      </c>
      <c r="E14" s="5" t="s">
        <v>84</v>
      </c>
      <c r="F14" s="8">
        <v>24000.0</v>
      </c>
      <c r="G14" s="9">
        <f t="shared" si="1"/>
        <v>0.03045685279</v>
      </c>
      <c r="H14" s="10" t="s">
        <v>85</v>
      </c>
      <c r="I14" s="10" t="s">
        <v>50</v>
      </c>
      <c r="J14" s="10" t="s">
        <v>51</v>
      </c>
      <c r="K14" s="5" t="s">
        <v>86</v>
      </c>
    </row>
    <row r="15">
      <c r="A15" s="10" t="s">
        <v>16</v>
      </c>
      <c r="B15" s="10"/>
      <c r="C15" s="10"/>
      <c r="D15" s="10" t="s">
        <v>87</v>
      </c>
      <c r="E15" s="17" t="s">
        <v>88</v>
      </c>
      <c r="F15" s="8">
        <v>18000.0</v>
      </c>
      <c r="G15" s="9">
        <f t="shared" si="1"/>
        <v>0.02284263959</v>
      </c>
      <c r="H15" s="10" t="s">
        <v>89</v>
      </c>
      <c r="I15" s="10" t="s">
        <v>50</v>
      </c>
      <c r="J15" s="10" t="s">
        <v>56</v>
      </c>
      <c r="K15" s="5" t="s">
        <v>90</v>
      </c>
    </row>
    <row r="16">
      <c r="A16" s="10" t="s">
        <v>16</v>
      </c>
      <c r="B16" s="10"/>
      <c r="C16" s="10"/>
      <c r="D16" s="10" t="s">
        <v>91</v>
      </c>
      <c r="E16" s="5" t="s">
        <v>92</v>
      </c>
      <c r="F16" s="8">
        <v>24000.0</v>
      </c>
      <c r="G16" s="9">
        <f t="shared" si="1"/>
        <v>0.03045685279</v>
      </c>
      <c r="H16" s="10" t="s">
        <v>14</v>
      </c>
      <c r="I16" s="10" t="s">
        <v>50</v>
      </c>
      <c r="J16" s="10" t="s">
        <v>51</v>
      </c>
      <c r="K16" s="17" t="s">
        <v>93</v>
      </c>
    </row>
    <row r="17">
      <c r="A17" s="10" t="s">
        <v>16</v>
      </c>
      <c r="B17" s="10"/>
      <c r="C17" s="10"/>
      <c r="D17" s="10" t="s">
        <v>94</v>
      </c>
      <c r="E17" s="17" t="s">
        <v>95</v>
      </c>
      <c r="F17" s="8">
        <v>18000.0</v>
      </c>
      <c r="G17" s="9">
        <f t="shared" si="1"/>
        <v>0.02284263959</v>
      </c>
      <c r="H17" s="10" t="s">
        <v>23</v>
      </c>
      <c r="I17" s="10" t="s">
        <v>50</v>
      </c>
      <c r="J17" s="10" t="s">
        <v>51</v>
      </c>
      <c r="K17" s="5" t="s">
        <v>96</v>
      </c>
    </row>
    <row r="18">
      <c r="A18" s="10" t="s">
        <v>16</v>
      </c>
      <c r="B18" s="10"/>
      <c r="C18" s="10"/>
      <c r="D18" s="10" t="s">
        <v>97</v>
      </c>
      <c r="E18" s="17" t="s">
        <v>98</v>
      </c>
      <c r="F18" s="8">
        <v>12000.0</v>
      </c>
      <c r="G18" s="9">
        <f t="shared" si="1"/>
        <v>0.0152284264</v>
      </c>
      <c r="H18" s="10" t="s">
        <v>99</v>
      </c>
      <c r="I18" s="10" t="s">
        <v>50</v>
      </c>
      <c r="J18" s="10" t="s">
        <v>56</v>
      </c>
      <c r="K18" s="5" t="s">
        <v>100</v>
      </c>
    </row>
    <row r="19">
      <c r="A19" s="10" t="s">
        <v>16</v>
      </c>
      <c r="B19" s="10"/>
      <c r="C19" s="10"/>
      <c r="D19" s="10" t="s">
        <v>101</v>
      </c>
      <c r="E19" s="5" t="s">
        <v>102</v>
      </c>
      <c r="F19" s="8">
        <v>12000.0</v>
      </c>
      <c r="G19" s="9">
        <f t="shared" si="1"/>
        <v>0.0152284264</v>
      </c>
      <c r="H19" s="10" t="s">
        <v>85</v>
      </c>
      <c r="I19" s="10" t="s">
        <v>50</v>
      </c>
      <c r="J19" s="10" t="s">
        <v>56</v>
      </c>
      <c r="K19" s="5" t="s">
        <v>103</v>
      </c>
    </row>
    <row r="20">
      <c r="A20" s="10" t="s">
        <v>16</v>
      </c>
      <c r="B20" s="10"/>
      <c r="C20" s="10"/>
      <c r="D20" s="10" t="s">
        <v>104</v>
      </c>
      <c r="E20" s="5" t="s">
        <v>105</v>
      </c>
      <c r="F20" s="8">
        <v>10000.0</v>
      </c>
      <c r="G20" s="9">
        <f t="shared" si="1"/>
        <v>0.01269035533</v>
      </c>
      <c r="H20" s="10" t="s">
        <v>23</v>
      </c>
      <c r="I20" s="10" t="s">
        <v>50</v>
      </c>
      <c r="J20" s="10" t="s">
        <v>56</v>
      </c>
      <c r="K20" s="5" t="s">
        <v>106</v>
      </c>
    </row>
    <row r="21">
      <c r="A21" s="10" t="s">
        <v>20</v>
      </c>
      <c r="B21" s="10"/>
      <c r="C21" s="10"/>
      <c r="D21" s="10" t="s">
        <v>107</v>
      </c>
      <c r="E21" s="5" t="s">
        <v>108</v>
      </c>
      <c r="F21" s="8">
        <v>60000.0</v>
      </c>
      <c r="G21" s="9">
        <f t="shared" si="1"/>
        <v>0.07614213198</v>
      </c>
      <c r="H21" s="10" t="s">
        <v>99</v>
      </c>
      <c r="I21" s="10" t="s">
        <v>50</v>
      </c>
      <c r="J21" s="10" t="s">
        <v>51</v>
      </c>
      <c r="K21" s="5" t="s">
        <v>109</v>
      </c>
    </row>
    <row r="22">
      <c r="A22" s="10" t="s">
        <v>20</v>
      </c>
      <c r="B22" s="10"/>
      <c r="C22" s="10"/>
      <c r="D22" s="10" t="s">
        <v>110</v>
      </c>
      <c r="E22" s="17" t="s">
        <v>111</v>
      </c>
      <c r="F22" s="8">
        <v>22000.0</v>
      </c>
      <c r="G22" s="9">
        <f t="shared" si="1"/>
        <v>0.02791878173</v>
      </c>
      <c r="H22" s="10" t="s">
        <v>112</v>
      </c>
      <c r="I22" s="10" t="s">
        <v>50</v>
      </c>
      <c r="J22" s="10" t="s">
        <v>51</v>
      </c>
      <c r="K22" s="5" t="s">
        <v>113</v>
      </c>
    </row>
    <row r="23" ht="15.75" customHeight="1">
      <c r="A23" s="10" t="s">
        <v>20</v>
      </c>
      <c r="B23" s="7"/>
      <c r="C23" s="7"/>
      <c r="D23" s="7" t="s">
        <v>114</v>
      </c>
      <c r="E23" s="17" t="s">
        <v>115</v>
      </c>
      <c r="F23" s="8">
        <v>8000.0</v>
      </c>
      <c r="G23" s="9">
        <f t="shared" si="1"/>
        <v>0.01015228426</v>
      </c>
      <c r="H23" s="10" t="s">
        <v>116</v>
      </c>
      <c r="I23" s="10" t="s">
        <v>50</v>
      </c>
      <c r="J23" s="10" t="s">
        <v>56</v>
      </c>
      <c r="K23" s="5" t="s">
        <v>117</v>
      </c>
    </row>
    <row r="24" ht="15.75" customHeight="1">
      <c r="A24" s="10" t="s">
        <v>20</v>
      </c>
      <c r="B24" s="10"/>
      <c r="C24" s="10"/>
      <c r="D24" s="10" t="s">
        <v>118</v>
      </c>
      <c r="E24" s="5" t="s">
        <v>119</v>
      </c>
      <c r="F24" s="8">
        <v>15000.0</v>
      </c>
      <c r="G24" s="9">
        <f t="shared" si="1"/>
        <v>0.01903553299</v>
      </c>
      <c r="H24" s="10" t="s">
        <v>116</v>
      </c>
      <c r="I24" s="10" t="s">
        <v>50</v>
      </c>
      <c r="J24" s="10" t="s">
        <v>56</v>
      </c>
      <c r="K24" s="5" t="s">
        <v>120</v>
      </c>
    </row>
    <row r="25" ht="15.75" customHeight="1">
      <c r="A25" s="10" t="s">
        <v>25</v>
      </c>
      <c r="B25" s="10"/>
      <c r="C25" s="10"/>
      <c r="D25" s="10" t="s">
        <v>121</v>
      </c>
      <c r="E25" s="5" t="s">
        <v>122</v>
      </c>
      <c r="F25" s="8">
        <v>18000.0</v>
      </c>
      <c r="G25" s="9">
        <f t="shared" si="1"/>
        <v>0.02284263959</v>
      </c>
      <c r="H25" s="10" t="s">
        <v>99</v>
      </c>
      <c r="I25" s="10" t="s">
        <v>50</v>
      </c>
      <c r="J25" s="10" t="s">
        <v>56</v>
      </c>
      <c r="K25" s="5" t="s">
        <v>123</v>
      </c>
    </row>
    <row r="26" ht="15.75" customHeight="1">
      <c r="A26" s="7" t="s">
        <v>124</v>
      </c>
      <c r="B26" s="7"/>
      <c r="C26" s="7" t="s">
        <v>125</v>
      </c>
      <c r="D26" s="10" t="s">
        <v>126</v>
      </c>
      <c r="E26" s="5" t="s">
        <v>127</v>
      </c>
      <c r="F26" s="16">
        <v>10000.0</v>
      </c>
      <c r="G26" s="9">
        <f t="shared" si="1"/>
        <v>0.01269035533</v>
      </c>
      <c r="H26" s="10" t="s">
        <v>14</v>
      </c>
      <c r="I26" s="10" t="s">
        <v>50</v>
      </c>
      <c r="J26" s="10" t="s">
        <v>51</v>
      </c>
      <c r="K26" s="5" t="s">
        <v>128</v>
      </c>
    </row>
    <row r="27" ht="15.75" customHeight="1">
      <c r="A27" s="10" t="s">
        <v>25</v>
      </c>
      <c r="B27" s="7"/>
      <c r="C27" s="7" t="s">
        <v>125</v>
      </c>
      <c r="D27" s="10" t="s">
        <v>129</v>
      </c>
      <c r="E27" s="5" t="s">
        <v>130</v>
      </c>
      <c r="F27" s="8">
        <v>16000.0</v>
      </c>
      <c r="G27" s="9">
        <f t="shared" si="1"/>
        <v>0.02030456853</v>
      </c>
      <c r="H27" s="10" t="s">
        <v>14</v>
      </c>
      <c r="I27" s="10" t="s">
        <v>50</v>
      </c>
      <c r="J27" s="10" t="s">
        <v>51</v>
      </c>
      <c r="K27" s="5" t="s">
        <v>131</v>
      </c>
    </row>
    <row r="28" ht="15.75" customHeight="1">
      <c r="A28" s="10" t="s">
        <v>25</v>
      </c>
      <c r="B28" s="7"/>
      <c r="C28" s="7" t="s">
        <v>125</v>
      </c>
      <c r="D28" s="10" t="s">
        <v>132</v>
      </c>
      <c r="E28" s="5" t="s">
        <v>133</v>
      </c>
      <c r="F28" s="8">
        <v>8000.0</v>
      </c>
      <c r="G28" s="9">
        <f t="shared" si="1"/>
        <v>0.01015228426</v>
      </c>
      <c r="H28" s="10" t="s">
        <v>14</v>
      </c>
      <c r="I28" s="10" t="s">
        <v>50</v>
      </c>
      <c r="J28" s="10" t="s">
        <v>134</v>
      </c>
      <c r="K28" s="5" t="s">
        <v>135</v>
      </c>
    </row>
    <row r="29" ht="15.75" customHeight="1">
      <c r="A29" s="10" t="s">
        <v>25</v>
      </c>
      <c r="B29" s="10"/>
      <c r="C29" s="10"/>
      <c r="D29" s="10" t="s">
        <v>136</v>
      </c>
      <c r="E29" s="5" t="s">
        <v>137</v>
      </c>
      <c r="F29" s="8">
        <v>6000.0</v>
      </c>
      <c r="G29" s="9">
        <f t="shared" si="1"/>
        <v>0.007614213198</v>
      </c>
      <c r="H29" s="10" t="s">
        <v>14</v>
      </c>
      <c r="I29" s="10" t="s">
        <v>50</v>
      </c>
      <c r="J29" s="10" t="s">
        <v>134</v>
      </c>
      <c r="K29" s="5" t="s">
        <v>138</v>
      </c>
    </row>
    <row r="30" ht="15.75" customHeight="1">
      <c r="A30" s="10" t="s">
        <v>29</v>
      </c>
      <c r="B30" s="10"/>
      <c r="C30" s="10"/>
      <c r="D30" s="10" t="s">
        <v>139</v>
      </c>
      <c r="E30" s="5" t="s">
        <v>140</v>
      </c>
      <c r="F30" s="8">
        <v>10000.0</v>
      </c>
      <c r="G30" s="9">
        <f t="shared" si="1"/>
        <v>0.01269035533</v>
      </c>
      <c r="H30" s="10" t="s">
        <v>14</v>
      </c>
      <c r="I30" s="10" t="s">
        <v>50</v>
      </c>
      <c r="J30" s="10" t="s">
        <v>51</v>
      </c>
      <c r="K30" s="5" t="s">
        <v>141</v>
      </c>
    </row>
    <row r="31" ht="15.75" customHeight="1">
      <c r="A31" s="10" t="s">
        <v>29</v>
      </c>
      <c r="B31" s="10"/>
      <c r="C31" s="10"/>
      <c r="D31" s="10" t="s">
        <v>142</v>
      </c>
      <c r="E31" s="5" t="s">
        <v>143</v>
      </c>
      <c r="F31" s="8">
        <v>8000.0</v>
      </c>
      <c r="G31" s="9">
        <f t="shared" si="1"/>
        <v>0.01015228426</v>
      </c>
      <c r="H31" s="10" t="s">
        <v>14</v>
      </c>
      <c r="I31" s="10" t="s">
        <v>50</v>
      </c>
      <c r="J31" s="10" t="s">
        <v>51</v>
      </c>
      <c r="K31" s="5" t="s">
        <v>144</v>
      </c>
    </row>
    <row r="32" ht="15.75" customHeight="1">
      <c r="A32" s="10" t="s">
        <v>29</v>
      </c>
      <c r="B32" s="10"/>
      <c r="C32" s="10"/>
      <c r="D32" s="10" t="s">
        <v>145</v>
      </c>
      <c r="E32" s="5" t="s">
        <v>146</v>
      </c>
      <c r="F32" s="8">
        <v>7000.0</v>
      </c>
      <c r="G32" s="9">
        <f t="shared" si="1"/>
        <v>0.008883248731</v>
      </c>
      <c r="H32" s="10" t="s">
        <v>14</v>
      </c>
      <c r="I32" s="10" t="s">
        <v>50</v>
      </c>
      <c r="J32" s="10" t="s">
        <v>56</v>
      </c>
      <c r="K32" s="5" t="s">
        <v>147</v>
      </c>
    </row>
    <row r="33" ht="15.75" customHeight="1">
      <c r="A33" s="10" t="s">
        <v>29</v>
      </c>
      <c r="B33" s="10"/>
      <c r="C33" s="10"/>
      <c r="D33" s="10" t="s">
        <v>148</v>
      </c>
      <c r="E33" s="5" t="s">
        <v>149</v>
      </c>
      <c r="F33" s="8">
        <v>20000.0</v>
      </c>
      <c r="G33" s="9">
        <f t="shared" si="1"/>
        <v>0.02538071066</v>
      </c>
      <c r="H33" s="10" t="s">
        <v>14</v>
      </c>
      <c r="I33" s="10" t="s">
        <v>50</v>
      </c>
      <c r="J33" s="10" t="s">
        <v>51</v>
      </c>
      <c r="K33" s="5" t="s">
        <v>150</v>
      </c>
    </row>
    <row r="34" ht="15.75" customHeight="1">
      <c r="A34" s="10" t="s">
        <v>29</v>
      </c>
      <c r="B34" s="10"/>
      <c r="C34" s="10"/>
      <c r="D34" s="10" t="s">
        <v>151</v>
      </c>
      <c r="E34" s="5" t="s">
        <v>152</v>
      </c>
      <c r="F34" s="8">
        <v>8000.0</v>
      </c>
      <c r="G34" s="9">
        <f t="shared" si="1"/>
        <v>0.01015228426</v>
      </c>
      <c r="H34" s="10" t="s">
        <v>14</v>
      </c>
      <c r="I34" s="10" t="s">
        <v>50</v>
      </c>
      <c r="J34" s="10" t="s">
        <v>56</v>
      </c>
      <c r="K34" s="5" t="s">
        <v>153</v>
      </c>
    </row>
    <row r="35" ht="15.75" customHeight="1">
      <c r="A35" s="10" t="s">
        <v>29</v>
      </c>
      <c r="B35" s="10"/>
      <c r="C35" s="10"/>
      <c r="D35" s="10" t="s">
        <v>154</v>
      </c>
      <c r="E35" s="5" t="s">
        <v>155</v>
      </c>
      <c r="F35" s="8">
        <v>12000.0</v>
      </c>
      <c r="G35" s="9">
        <f t="shared" si="1"/>
        <v>0.0152284264</v>
      </c>
      <c r="H35" s="10" t="s">
        <v>14</v>
      </c>
      <c r="I35" s="10" t="s">
        <v>50</v>
      </c>
      <c r="J35" s="10" t="s">
        <v>56</v>
      </c>
      <c r="K35" s="5" t="s">
        <v>156</v>
      </c>
    </row>
    <row r="36" ht="15.75" customHeight="1">
      <c r="A36" s="10" t="s">
        <v>29</v>
      </c>
      <c r="B36" s="10"/>
      <c r="C36" s="10"/>
      <c r="D36" s="10" t="s">
        <v>157</v>
      </c>
      <c r="E36" s="5" t="s">
        <v>158</v>
      </c>
      <c r="F36" s="8">
        <v>5000.0</v>
      </c>
      <c r="G36" s="9">
        <f t="shared" si="1"/>
        <v>0.006345177665</v>
      </c>
      <c r="H36" s="10" t="s">
        <v>78</v>
      </c>
      <c r="I36" s="10" t="s">
        <v>50</v>
      </c>
      <c r="J36" s="10" t="s">
        <v>134</v>
      </c>
      <c r="K36" s="5" t="s">
        <v>159</v>
      </c>
    </row>
    <row r="37" ht="15.75" customHeight="1">
      <c r="A37" s="10" t="s">
        <v>29</v>
      </c>
      <c r="B37" s="10"/>
      <c r="C37" s="10"/>
      <c r="D37" s="10" t="s">
        <v>160</v>
      </c>
      <c r="E37" s="5" t="s">
        <v>161</v>
      </c>
      <c r="F37" s="8">
        <v>5000.0</v>
      </c>
      <c r="G37" s="9">
        <f t="shared" si="1"/>
        <v>0.006345177665</v>
      </c>
      <c r="H37" s="10" t="s">
        <v>14</v>
      </c>
      <c r="I37" s="10" t="s">
        <v>50</v>
      </c>
      <c r="J37" s="10" t="s">
        <v>134</v>
      </c>
      <c r="K37" s="5" t="s">
        <v>162</v>
      </c>
    </row>
    <row r="38" ht="15.75" customHeight="1">
      <c r="A38" s="4"/>
      <c r="B38" s="4"/>
      <c r="C38" s="4"/>
      <c r="D38" s="4"/>
      <c r="E38" s="4" t="s">
        <v>33</v>
      </c>
      <c r="F38" s="11">
        <f>SUM(F4:F37)</f>
        <v>788000</v>
      </c>
      <c r="G38" s="9"/>
      <c r="H38" s="4"/>
      <c r="I38" s="4"/>
      <c r="J38" s="4"/>
      <c r="K38" s="4"/>
    </row>
    <row r="39" ht="15.75" customHeight="1"/>
    <row r="40" ht="15.75" customHeight="1">
      <c r="A40" s="1" t="s">
        <v>163</v>
      </c>
      <c r="B40" s="2"/>
      <c r="C40" s="2"/>
      <c r="D40" s="2"/>
      <c r="E40" s="2"/>
      <c r="F40" s="2"/>
      <c r="G40" s="3"/>
    </row>
    <row r="41" ht="15.75" customHeight="1">
      <c r="A41" s="18" t="s">
        <v>4</v>
      </c>
      <c r="B41" s="18"/>
      <c r="C41" s="18"/>
      <c r="D41" s="18" t="s">
        <v>164</v>
      </c>
      <c r="E41" s="18" t="s">
        <v>165</v>
      </c>
      <c r="F41" s="18" t="s">
        <v>166</v>
      </c>
      <c r="G41" s="18" t="s">
        <v>6</v>
      </c>
    </row>
    <row r="42" ht="15.75" customHeight="1">
      <c r="A42" s="7" t="s">
        <v>11</v>
      </c>
      <c r="B42" s="8"/>
      <c r="C42" s="8"/>
      <c r="D42" s="8">
        <f t="shared" ref="D42:D46" si="2">SUMIF($A$4:$A$37,A42,$F$4:$F$37)</f>
        <v>322000</v>
      </c>
      <c r="E42" s="8">
        <v>350000.0</v>
      </c>
      <c r="F42" s="8">
        <f t="shared" ref="F42:F46" si="3">D42-E42</f>
        <v>-28000</v>
      </c>
      <c r="G42" s="9">
        <f t="shared" ref="G42:G46" si="4">D42/$F$38</f>
        <v>0.4086294416</v>
      </c>
    </row>
    <row r="43" ht="15.75" customHeight="1">
      <c r="A43" s="10" t="s">
        <v>16</v>
      </c>
      <c r="B43" s="8"/>
      <c r="C43" s="8"/>
      <c r="D43" s="8">
        <f t="shared" si="2"/>
        <v>228000</v>
      </c>
      <c r="E43" s="8">
        <v>200000.0</v>
      </c>
      <c r="F43" s="8">
        <f t="shared" si="3"/>
        <v>28000</v>
      </c>
      <c r="G43" s="9">
        <f t="shared" si="4"/>
        <v>0.2893401015</v>
      </c>
    </row>
    <row r="44" ht="15.75" customHeight="1">
      <c r="A44" s="10" t="s">
        <v>20</v>
      </c>
      <c r="B44" s="8"/>
      <c r="C44" s="8"/>
      <c r="D44" s="8">
        <f t="shared" si="2"/>
        <v>105000</v>
      </c>
      <c r="E44" s="8">
        <v>105000.0</v>
      </c>
      <c r="F44" s="8">
        <f t="shared" si="3"/>
        <v>0</v>
      </c>
      <c r="G44" s="9">
        <f t="shared" si="4"/>
        <v>0.133248731</v>
      </c>
    </row>
    <row r="45" ht="15.75" customHeight="1">
      <c r="A45" s="10" t="s">
        <v>25</v>
      </c>
      <c r="B45" s="8"/>
      <c r="C45" s="8"/>
      <c r="D45" s="8">
        <f t="shared" si="2"/>
        <v>48000</v>
      </c>
      <c r="E45" s="8">
        <v>70000.0</v>
      </c>
      <c r="F45" s="8">
        <f t="shared" si="3"/>
        <v>-22000</v>
      </c>
      <c r="G45" s="9">
        <f t="shared" si="4"/>
        <v>0.06091370558</v>
      </c>
    </row>
    <row r="46" ht="15.75" customHeight="1">
      <c r="A46" s="10" t="s">
        <v>29</v>
      </c>
      <c r="B46" s="8"/>
      <c r="C46" s="8"/>
      <c r="D46" s="8">
        <f t="shared" si="2"/>
        <v>75000</v>
      </c>
      <c r="E46" s="8">
        <v>75000.0</v>
      </c>
      <c r="F46" s="8">
        <f t="shared" si="3"/>
        <v>0</v>
      </c>
      <c r="G46" s="9">
        <f t="shared" si="4"/>
        <v>0.09517766497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K1"/>
    <mergeCell ref="A40:G4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13" width="10.0"/>
    <col customWidth="1" min="14" max="14" width="13.0"/>
    <col customWidth="1" min="15" max="15" width="11.0"/>
    <col customWidth="1" min="16" max="16" width="28.0"/>
    <col customWidth="1" min="17" max="26" width="8.86"/>
  </cols>
  <sheetData>
    <row r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3">
      <c r="A3" s="6" t="s">
        <v>168</v>
      </c>
      <c r="B3" s="6" t="s">
        <v>169</v>
      </c>
      <c r="C3" s="6" t="s">
        <v>170</v>
      </c>
      <c r="D3" s="6" t="s">
        <v>171</v>
      </c>
      <c r="E3" s="6" t="s">
        <v>172</v>
      </c>
      <c r="F3" s="6" t="s">
        <v>173</v>
      </c>
      <c r="G3" s="6" t="s">
        <v>174</v>
      </c>
      <c r="H3" s="6" t="s">
        <v>175</v>
      </c>
      <c r="I3" s="6" t="s">
        <v>176</v>
      </c>
      <c r="J3" s="6" t="s">
        <v>177</v>
      </c>
      <c r="K3" s="6" t="s">
        <v>178</v>
      </c>
      <c r="L3" s="6" t="s">
        <v>179</v>
      </c>
      <c r="M3" s="6" t="s">
        <v>180</v>
      </c>
      <c r="N3" s="6" t="s">
        <v>181</v>
      </c>
      <c r="O3" s="6" t="s">
        <v>6</v>
      </c>
      <c r="P3" s="6" t="s">
        <v>47</v>
      </c>
    </row>
    <row r="4">
      <c r="A4" s="7" t="s">
        <v>11</v>
      </c>
      <c r="B4" s="8">
        <v>18000.0</v>
      </c>
      <c r="C4" s="8">
        <v>22000.0</v>
      </c>
      <c r="D4" s="8">
        <v>26000.0</v>
      </c>
      <c r="E4" s="8">
        <v>30000.0</v>
      </c>
      <c r="F4" s="8">
        <v>30000.0</v>
      </c>
      <c r="G4" s="8">
        <v>30000.0</v>
      </c>
      <c r="H4" s="8">
        <v>30000.0</v>
      </c>
      <c r="I4" s="8">
        <v>30000.0</v>
      </c>
      <c r="J4" s="8">
        <v>30000.0</v>
      </c>
      <c r="K4" s="8">
        <v>30000.0</v>
      </c>
      <c r="L4" s="8">
        <v>30000.0</v>
      </c>
      <c r="M4" s="8">
        <v>24000.0</v>
      </c>
      <c r="N4" s="8">
        <f t="shared" ref="N4:N8" si="1">SUM(B4:M4)</f>
        <v>330000</v>
      </c>
      <c r="O4" s="9">
        <f t="shared" ref="O4:O8" si="2">N4/$N$10</f>
        <v>0.4230769231</v>
      </c>
      <c r="P4" s="5" t="s">
        <v>182</v>
      </c>
    </row>
    <row r="5">
      <c r="A5" s="10" t="s">
        <v>183</v>
      </c>
      <c r="B5" s="8">
        <v>20000.0</v>
      </c>
      <c r="C5" s="8">
        <v>24000.0</v>
      </c>
      <c r="D5" s="8">
        <v>26000.0</v>
      </c>
      <c r="E5" s="8">
        <v>22000.0</v>
      </c>
      <c r="F5" s="8">
        <v>18000.0</v>
      </c>
      <c r="G5" s="8">
        <v>18000.0</v>
      </c>
      <c r="H5" s="8">
        <v>15000.0</v>
      </c>
      <c r="I5" s="8">
        <v>14000.0</v>
      </c>
      <c r="J5" s="8">
        <v>13000.0</v>
      </c>
      <c r="K5" s="8">
        <v>12000.0</v>
      </c>
      <c r="L5" s="8">
        <v>9000.0</v>
      </c>
      <c r="M5" s="8">
        <v>9000.0</v>
      </c>
      <c r="N5" s="8">
        <f t="shared" si="1"/>
        <v>200000</v>
      </c>
      <c r="O5" s="9">
        <f t="shared" si="2"/>
        <v>0.2564102564</v>
      </c>
      <c r="P5" s="5" t="s">
        <v>184</v>
      </c>
    </row>
    <row r="6">
      <c r="A6" s="10" t="s">
        <v>185</v>
      </c>
      <c r="B6" s="8">
        <v>0.0</v>
      </c>
      <c r="C6" s="8">
        <v>5000.0</v>
      </c>
      <c r="D6" s="8">
        <v>12000.0</v>
      </c>
      <c r="E6" s="8">
        <v>15000.0</v>
      </c>
      <c r="F6" s="8">
        <v>15000.0</v>
      </c>
      <c r="G6" s="8">
        <v>13000.0</v>
      </c>
      <c r="H6" s="8">
        <v>10000.0</v>
      </c>
      <c r="I6" s="8">
        <v>10000.0</v>
      </c>
      <c r="J6" s="8">
        <v>10000.0</v>
      </c>
      <c r="K6" s="8">
        <v>5000.0</v>
      </c>
      <c r="L6" s="8">
        <v>5000.0</v>
      </c>
      <c r="M6" s="8">
        <v>5000.0</v>
      </c>
      <c r="N6" s="8">
        <f t="shared" si="1"/>
        <v>105000</v>
      </c>
      <c r="O6" s="9">
        <f t="shared" si="2"/>
        <v>0.1346153846</v>
      </c>
      <c r="P6" s="5" t="s">
        <v>186</v>
      </c>
    </row>
    <row r="7">
      <c r="A7" s="10" t="s">
        <v>187</v>
      </c>
      <c r="B7" s="8">
        <v>3000.0</v>
      </c>
      <c r="C7" s="8">
        <v>4000.0</v>
      </c>
      <c r="D7" s="8">
        <v>5000.0</v>
      </c>
      <c r="E7" s="8">
        <v>6000.0</v>
      </c>
      <c r="F7" s="8">
        <v>7000.0</v>
      </c>
      <c r="G7" s="8">
        <v>7000.0</v>
      </c>
      <c r="H7" s="8">
        <v>7000.0</v>
      </c>
      <c r="I7" s="8">
        <v>7000.0</v>
      </c>
      <c r="J7" s="8">
        <v>7000.0</v>
      </c>
      <c r="K7" s="8">
        <v>6000.0</v>
      </c>
      <c r="L7" s="8">
        <v>6000.0</v>
      </c>
      <c r="M7" s="8">
        <v>5000.0</v>
      </c>
      <c r="N7" s="8">
        <f t="shared" si="1"/>
        <v>70000</v>
      </c>
      <c r="O7" s="9">
        <f t="shared" si="2"/>
        <v>0.08974358974</v>
      </c>
      <c r="P7" s="5" t="s">
        <v>188</v>
      </c>
    </row>
    <row r="8">
      <c r="A8" s="10" t="s">
        <v>189</v>
      </c>
      <c r="B8" s="8">
        <v>5000.0</v>
      </c>
      <c r="C8" s="8">
        <v>6000.0</v>
      </c>
      <c r="D8" s="8">
        <v>7000.0</v>
      </c>
      <c r="E8" s="8">
        <v>6000.0</v>
      </c>
      <c r="F8" s="8">
        <v>6000.0</v>
      </c>
      <c r="G8" s="8">
        <v>6000.0</v>
      </c>
      <c r="H8" s="8">
        <v>7000.0</v>
      </c>
      <c r="I8" s="8">
        <v>7000.0</v>
      </c>
      <c r="J8" s="8">
        <v>6000.0</v>
      </c>
      <c r="K8" s="8">
        <v>7000.0</v>
      </c>
      <c r="L8" s="8">
        <v>6000.0</v>
      </c>
      <c r="M8" s="8">
        <v>6000.0</v>
      </c>
      <c r="N8" s="8">
        <f t="shared" si="1"/>
        <v>75000</v>
      </c>
      <c r="O8" s="9">
        <f t="shared" si="2"/>
        <v>0.09615384615</v>
      </c>
      <c r="P8" s="5" t="s">
        <v>190</v>
      </c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>
      <c r="A10" s="4" t="s">
        <v>191</v>
      </c>
      <c r="B10" s="11">
        <f t="shared" ref="B10:O10" si="3">SUM(B4:B8)</f>
        <v>46000</v>
      </c>
      <c r="C10" s="11">
        <f t="shared" si="3"/>
        <v>61000</v>
      </c>
      <c r="D10" s="11">
        <f t="shared" si="3"/>
        <v>76000</v>
      </c>
      <c r="E10" s="11">
        <f t="shared" si="3"/>
        <v>79000</v>
      </c>
      <c r="F10" s="11">
        <f t="shared" si="3"/>
        <v>76000</v>
      </c>
      <c r="G10" s="11">
        <f t="shared" si="3"/>
        <v>74000</v>
      </c>
      <c r="H10" s="11">
        <f t="shared" si="3"/>
        <v>69000</v>
      </c>
      <c r="I10" s="11">
        <f t="shared" si="3"/>
        <v>68000</v>
      </c>
      <c r="J10" s="11">
        <f t="shared" si="3"/>
        <v>66000</v>
      </c>
      <c r="K10" s="11">
        <f t="shared" si="3"/>
        <v>60000</v>
      </c>
      <c r="L10" s="11">
        <f t="shared" si="3"/>
        <v>56000</v>
      </c>
      <c r="M10" s="11">
        <f t="shared" si="3"/>
        <v>49000</v>
      </c>
      <c r="N10" s="11">
        <f t="shared" si="3"/>
        <v>780000</v>
      </c>
      <c r="O10" s="12">
        <f t="shared" si="3"/>
        <v>1</v>
      </c>
      <c r="P1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18.29"/>
    <col customWidth="1" min="4" max="4" width="13.0"/>
    <col customWidth="1" min="5" max="5" width="30.0"/>
    <col customWidth="1" min="6" max="6" width="28.0"/>
    <col customWidth="1" min="7" max="7" width="10.0"/>
    <col customWidth="1" min="8" max="8" width="12.0"/>
    <col customWidth="1" min="9" max="9" width="20.0"/>
    <col customWidth="1" min="10" max="26" width="8.86"/>
  </cols>
  <sheetData>
    <row r="1">
      <c r="A1" s="1" t="s">
        <v>192</v>
      </c>
      <c r="B1" s="2"/>
      <c r="C1" s="2"/>
      <c r="D1" s="2"/>
      <c r="E1" s="2"/>
      <c r="F1" s="2"/>
      <c r="G1" s="2"/>
      <c r="H1" s="2"/>
      <c r="I1" s="3"/>
    </row>
    <row r="3">
      <c r="A3" s="19" t="s">
        <v>193</v>
      </c>
      <c r="B3" s="19" t="s">
        <v>194</v>
      </c>
      <c r="C3" s="19" t="s">
        <v>195</v>
      </c>
      <c r="D3" s="19" t="s">
        <v>196</v>
      </c>
      <c r="E3" s="19" t="s">
        <v>197</v>
      </c>
      <c r="F3" s="19" t="s">
        <v>198</v>
      </c>
      <c r="G3" s="19" t="s">
        <v>46</v>
      </c>
      <c r="H3" s="19" t="s">
        <v>199</v>
      </c>
      <c r="I3" s="19" t="s">
        <v>200</v>
      </c>
    </row>
    <row r="4">
      <c r="A4" s="7" t="s">
        <v>201</v>
      </c>
      <c r="B4" s="7" t="s">
        <v>202</v>
      </c>
      <c r="C4" s="10" t="s">
        <v>203</v>
      </c>
      <c r="D4" s="16">
        <v>88000.0</v>
      </c>
      <c r="E4" s="5" t="s">
        <v>204</v>
      </c>
      <c r="F4" s="17" t="s">
        <v>205</v>
      </c>
      <c r="G4" s="10" t="s">
        <v>51</v>
      </c>
      <c r="H4" s="10" t="s">
        <v>206</v>
      </c>
      <c r="I4" s="5" t="s">
        <v>207</v>
      </c>
    </row>
    <row r="5">
      <c r="A5" s="7" t="s">
        <v>208</v>
      </c>
      <c r="B5" s="10" t="s">
        <v>209</v>
      </c>
      <c r="C5" s="7" t="s">
        <v>210</v>
      </c>
      <c r="D5" s="16">
        <v>28000.0</v>
      </c>
      <c r="E5" s="5" t="s">
        <v>211</v>
      </c>
      <c r="F5" s="5" t="s">
        <v>212</v>
      </c>
      <c r="G5" s="10" t="s">
        <v>56</v>
      </c>
      <c r="H5" s="10" t="s">
        <v>213</v>
      </c>
      <c r="I5" s="5" t="s">
        <v>214</v>
      </c>
    </row>
    <row r="6">
      <c r="A6" s="7" t="s">
        <v>215</v>
      </c>
      <c r="B6" s="10" t="s">
        <v>216</v>
      </c>
      <c r="C6" s="10" t="s">
        <v>203</v>
      </c>
      <c r="D6" s="16">
        <v>30000.0</v>
      </c>
      <c r="E6" s="5" t="s">
        <v>217</v>
      </c>
      <c r="F6" s="5" t="s">
        <v>218</v>
      </c>
      <c r="G6" s="10" t="s">
        <v>51</v>
      </c>
      <c r="H6" s="10" t="s">
        <v>206</v>
      </c>
      <c r="I6" s="5" t="s">
        <v>219</v>
      </c>
    </row>
    <row r="7">
      <c r="A7" s="7" t="s">
        <v>220</v>
      </c>
      <c r="B7" s="10" t="s">
        <v>221</v>
      </c>
      <c r="C7" s="10" t="s">
        <v>203</v>
      </c>
      <c r="D7" s="16">
        <v>44000.0</v>
      </c>
      <c r="E7" s="5" t="s">
        <v>222</v>
      </c>
      <c r="F7" s="5" t="s">
        <v>223</v>
      </c>
      <c r="G7" s="10" t="s">
        <v>51</v>
      </c>
      <c r="H7" s="10" t="s">
        <v>206</v>
      </c>
      <c r="I7" s="5" t="s">
        <v>224</v>
      </c>
    </row>
    <row r="8">
      <c r="A8" s="7" t="s">
        <v>225</v>
      </c>
      <c r="B8" s="7" t="s">
        <v>65</v>
      </c>
      <c r="C8" s="10" t="s">
        <v>203</v>
      </c>
      <c r="D8" s="16">
        <v>24000.0</v>
      </c>
      <c r="E8" s="17" t="s">
        <v>226</v>
      </c>
      <c r="F8" s="17" t="s">
        <v>227</v>
      </c>
      <c r="G8" s="10" t="s">
        <v>51</v>
      </c>
      <c r="H8" s="10" t="s">
        <v>206</v>
      </c>
      <c r="I8" s="17" t="s">
        <v>228</v>
      </c>
    </row>
    <row r="9">
      <c r="A9" s="7" t="s">
        <v>229</v>
      </c>
      <c r="B9" s="7" t="s">
        <v>230</v>
      </c>
      <c r="C9" s="10" t="s">
        <v>203</v>
      </c>
      <c r="D9" s="8">
        <v>36000.0</v>
      </c>
      <c r="E9" s="17" t="s">
        <v>68</v>
      </c>
      <c r="F9" s="17" t="s">
        <v>230</v>
      </c>
      <c r="G9" s="10" t="s">
        <v>51</v>
      </c>
      <c r="H9" s="10" t="s">
        <v>206</v>
      </c>
      <c r="I9" s="17" t="s">
        <v>231</v>
      </c>
    </row>
    <row r="10">
      <c r="A10" s="7" t="s">
        <v>232</v>
      </c>
      <c r="B10" s="7" t="s">
        <v>230</v>
      </c>
      <c r="C10" s="10" t="s">
        <v>203</v>
      </c>
      <c r="D10" s="16">
        <v>44000.0</v>
      </c>
      <c r="E10" s="17" t="s">
        <v>233</v>
      </c>
      <c r="F10" s="17" t="s">
        <v>234</v>
      </c>
      <c r="G10" s="10" t="s">
        <v>51</v>
      </c>
      <c r="H10" s="10" t="s">
        <v>206</v>
      </c>
      <c r="I10" s="17" t="s">
        <v>235</v>
      </c>
    </row>
    <row r="11">
      <c r="A11" s="10" t="s">
        <v>236</v>
      </c>
      <c r="B11" s="10" t="s">
        <v>237</v>
      </c>
      <c r="C11" s="10" t="s">
        <v>238</v>
      </c>
      <c r="D11" s="16">
        <v>56000.0</v>
      </c>
      <c r="E11" s="5" t="s">
        <v>239</v>
      </c>
      <c r="F11" s="5" t="s">
        <v>240</v>
      </c>
      <c r="G11" s="10" t="s">
        <v>56</v>
      </c>
      <c r="H11" s="10" t="s">
        <v>213</v>
      </c>
      <c r="I11" s="5" t="s">
        <v>241</v>
      </c>
    </row>
    <row r="12">
      <c r="A12" s="4"/>
      <c r="B12" s="4"/>
      <c r="C12" s="4" t="s">
        <v>242</v>
      </c>
      <c r="D12" s="11">
        <f>SUM(D4:D11)</f>
        <v>350000</v>
      </c>
      <c r="E12" s="4"/>
      <c r="F12" s="4"/>
      <c r="G12" s="4"/>
      <c r="H12" s="4"/>
      <c r="I12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2026-03-06T14:23:07Z</dcterms:created>
  <dc:creator>openpyxl</dc:creator>
</cp:coreProperties>
</file>